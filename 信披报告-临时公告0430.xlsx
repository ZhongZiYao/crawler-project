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<sst xmlns="http://schemas.openxmlformats.org/spreadsheetml/2006/main" count="78" uniqueCount="75">
  <si>
    <t>机构名称</t>
  </si>
  <si>
    <t>费率调整/优惠</t>
  </si>
  <si>
    <t>新设份额</t>
  </si>
  <si>
    <t>业绩比较基准调整</t>
  </si>
  <si>
    <t>特殊（包含两种）</t>
  </si>
  <si>
    <t>特殊*3</t>
  </si>
  <si>
    <t>a01</t>
  </si>
  <si>
    <t>工银理财</t>
  </si>
  <si>
    <t>a02</t>
  </si>
  <si>
    <t>农银理财</t>
  </si>
  <si>
    <t>a03</t>
  </si>
  <si>
    <t>中银理财</t>
  </si>
  <si>
    <t>a04</t>
  </si>
  <si>
    <t>建信理财</t>
  </si>
  <si>
    <t>a05</t>
  </si>
  <si>
    <t>交银理财</t>
  </si>
  <si>
    <t>a06</t>
  </si>
  <si>
    <t>中邮理财</t>
  </si>
  <si>
    <t>b01</t>
  </si>
  <si>
    <t>招银理财</t>
  </si>
  <si>
    <t>b02</t>
  </si>
  <si>
    <t>兴银理财</t>
  </si>
  <si>
    <t>b03</t>
  </si>
  <si>
    <t>信银理财</t>
  </si>
  <si>
    <t>b04</t>
  </si>
  <si>
    <t>光大理财</t>
  </si>
  <si>
    <t>待下载</t>
  </si>
  <si>
    <t>b05</t>
  </si>
  <si>
    <t>浦银理财</t>
  </si>
  <si>
    <t>b06</t>
  </si>
  <si>
    <t>平安理财</t>
  </si>
  <si>
    <t>b07</t>
  </si>
  <si>
    <t>民生理财</t>
  </si>
  <si>
    <t>b08</t>
  </si>
  <si>
    <t>华夏理财</t>
  </si>
  <si>
    <t>b09</t>
  </si>
  <si>
    <t>广银理财</t>
  </si>
  <si>
    <t>b10</t>
  </si>
  <si>
    <t>恒丰理财</t>
  </si>
  <si>
    <t>b11</t>
  </si>
  <si>
    <t>渤银理财</t>
  </si>
  <si>
    <t>b12</t>
  </si>
  <si>
    <t>浙银理财</t>
  </si>
  <si>
    <t>c01</t>
  </si>
  <si>
    <t>苏银理财</t>
  </si>
  <si>
    <t>c02</t>
  </si>
  <si>
    <t>宁银理财</t>
  </si>
  <si>
    <t>c03</t>
  </si>
  <si>
    <t>南银理财</t>
  </si>
  <si>
    <t>c04</t>
  </si>
  <si>
    <t>杭银理财</t>
  </si>
  <si>
    <t>c05</t>
  </si>
  <si>
    <t>北银理财</t>
  </si>
  <si>
    <t>c06</t>
  </si>
  <si>
    <t>上银理财</t>
  </si>
  <si>
    <t>c07</t>
  </si>
  <si>
    <t>青银理财</t>
  </si>
  <si>
    <t>c08</t>
  </si>
  <si>
    <t>徽银理财</t>
  </si>
  <si>
    <t>c09</t>
  </si>
  <si>
    <t>渝农商理财</t>
  </si>
  <si>
    <t>北京农商银行</t>
  </si>
  <si>
    <t>广州银行</t>
  </si>
  <si>
    <t>贵阳银行</t>
  </si>
  <si>
    <t>桂林银行</t>
  </si>
  <si>
    <t>杭州联合银行</t>
  </si>
  <si>
    <t>吉林银行</t>
  </si>
  <si>
    <t>齐鲁银行</t>
  </si>
  <si>
    <t>上海农商银行</t>
  </si>
  <si>
    <t>苏州银行</t>
  </si>
  <si>
    <t>天津银行</t>
  </si>
  <si>
    <t>温州银行</t>
  </si>
  <si>
    <t>长安银行</t>
  </si>
  <si>
    <t>中原银行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</si>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</sst>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zoomScale="130" zoomScaleNormal="130" workbookViewId="0">
      <selection activeCell="F13" sqref="F13"/>
    </sheetView>
  </sheetViews>
  <sheetFormatPr defaultColWidth="9" defaultRowHeight="13.5" outlineLevelCol="6"/>
  <cols>
    <col min="1" max="1" width="4.53097345132743" style="2" customWidth="1"/>
    <col min="2" max="2" width="13.4336283185841" style="2" customWidth="1"/>
    <col min="3" max="3" width="14.5663716814159" style="2" customWidth="1"/>
    <col min="4" max="4" width="9.24778761061947" style="2" customWidth="1"/>
    <col min="5" max="6" width="17.7610619469027" style="2" customWidth="1"/>
    <col min="7" max="16384" width="9" style="2"/>
  </cols>
  <sheetData>
    <row r="1" spans="1:7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="1" customFormat="1" spans="1:7">
      <c r="A2" s="4" t="s">
        <v>6</v>
      </c>
      <c r="B2" s="4" t="s">
        <v>7</v>
      </c>
      <c r="C2" s="4">
        <v>69</v>
      </c>
      <c r="D2" s="4">
        <v>132</v>
      </c>
      <c r="E2" s="4">
        <v>84</v>
      </c>
      <c r="F2" s="4">
        <v>104</v>
      </c>
      <c r="G2" s="4">
        <f>C2+D2+E2+F2*3</f>
        <v>597</v>
      </c>
    </row>
    <row r="3" spans="1:7">
      <c r="A3" s="5" t="s">
        <v>8</v>
      </c>
      <c r="B3" s="5" t="s">
        <v>9</v>
      </c>
      <c r="C3" s="5">
        <v>445</v>
      </c>
      <c r="D3" s="5">
        <v>0</v>
      </c>
      <c r="E3" s="5">
        <v>231</v>
      </c>
      <c r="F3" s="5">
        <v>9</v>
      </c>
      <c r="G3" s="5">
        <f>C3+D3+E3+F3*3</f>
        <v>703</v>
      </c>
    </row>
    <row r="4" spans="1:7">
      <c r="A4" s="5" t="s">
        <v>10</v>
      </c>
      <c r="B4" s="5" t="s">
        <v>11</v>
      </c>
      <c r="C4" s="5">
        <v>407</v>
      </c>
      <c r="D4" s="5">
        <v>0</v>
      </c>
      <c r="E4" s="5">
        <v>10</v>
      </c>
      <c r="F4" s="5">
        <v>0</v>
      </c>
      <c r="G4" s="5">
        <f t="shared" ref="G4:G41" si="0">C4+D4+E4+F4*3</f>
        <v>417</v>
      </c>
    </row>
    <row r="5" spans="1:7">
      <c r="A5" s="5" t="s">
        <v>12</v>
      </c>
      <c r="B5" s="5" t="s">
        <v>13</v>
      </c>
      <c r="C5" s="5">
        <v>260</v>
      </c>
      <c r="D5" s="5">
        <v>0</v>
      </c>
      <c r="E5" s="5">
        <v>8</v>
      </c>
      <c r="F5" s="5">
        <v>1</v>
      </c>
      <c r="G5" s="5">
        <f t="shared" si="0"/>
        <v>271</v>
      </c>
    </row>
    <row r="6" spans="1:7">
      <c r="A6" s="5" t="s">
        <v>14</v>
      </c>
      <c r="B6" s="5" t="s">
        <v>15</v>
      </c>
      <c r="C6" s="5">
        <v>573</v>
      </c>
      <c r="D6" s="5">
        <v>178</v>
      </c>
      <c r="E6" s="5">
        <v>105</v>
      </c>
      <c r="F6" s="5">
        <v>2</v>
      </c>
      <c r="G6" s="5">
        <f t="shared" si="0"/>
        <v>862</v>
      </c>
    </row>
    <row r="7" spans="1:7">
      <c r="A7" s="5" t="s">
        <v>16</v>
      </c>
      <c r="B7" s="5" t="s">
        <v>17</v>
      </c>
      <c r="C7" s="5">
        <v>328</v>
      </c>
      <c r="D7" s="5">
        <v>90</v>
      </c>
      <c r="E7" s="5">
        <v>75</v>
      </c>
      <c r="F7" s="5">
        <v>3</v>
      </c>
      <c r="G7" s="5">
        <f t="shared" si="0"/>
        <v>502</v>
      </c>
    </row>
    <row r="8" spans="1:7">
      <c r="A8" s="5" t="s">
        <v>18</v>
      </c>
      <c r="B8" s="5" t="s">
        <v>19</v>
      </c>
      <c r="C8" s="5">
        <v>5580</v>
      </c>
      <c r="D8" s="5">
        <v>0</v>
      </c>
      <c r="E8" s="5">
        <v>0</v>
      </c>
      <c r="F8" s="5">
        <v>4</v>
      </c>
      <c r="G8" s="5">
        <f t="shared" si="0"/>
        <v>5592</v>
      </c>
    </row>
    <row r="9" spans="1:7">
      <c r="A9" s="5" t="s">
        <v>20</v>
      </c>
      <c r="B9" s="5" t="s">
        <v>21</v>
      </c>
      <c r="C9" s="5">
        <v>1771</v>
      </c>
      <c r="D9" s="5">
        <v>5</v>
      </c>
      <c r="E9" s="5">
        <v>6</v>
      </c>
      <c r="F9" s="5">
        <v>5</v>
      </c>
      <c r="G9" s="5">
        <f t="shared" si="0"/>
        <v>1797</v>
      </c>
    </row>
    <row r="10" s="1" customFormat="1" spans="1:7">
      <c r="A10" s="4" t="s">
        <v>22</v>
      </c>
      <c r="B10" s="4" t="s">
        <v>23</v>
      </c>
      <c r="C10" s="4">
        <v>565</v>
      </c>
      <c r="D10" s="4">
        <v>0</v>
      </c>
      <c r="E10" s="4">
        <v>0</v>
      </c>
      <c r="F10" s="4">
        <v>724</v>
      </c>
      <c r="G10" s="5">
        <f t="shared" si="0"/>
        <v>2737</v>
      </c>
    </row>
    <row r="11" spans="1:7">
      <c r="A11" s="5" t="s">
        <v>24</v>
      </c>
      <c r="B11" s="5" t="s">
        <v>25</v>
      </c>
      <c r="C11" s="5" t="s">
        <v>26</v>
      </c>
      <c r="D11" s="5" t="s">
        <v>26</v>
      </c>
      <c r="E11" s="5" t="s">
        <v>26</v>
      </c>
      <c r="F11" s="5" t="s">
        <v>26</v>
      </c>
      <c r="G11" s="5"/>
    </row>
    <row r="12" spans="1:7">
      <c r="A12" s="5" t="s">
        <v>27</v>
      </c>
      <c r="B12" s="5" t="s">
        <v>28</v>
      </c>
      <c r="C12" s="5">
        <v>1935</v>
      </c>
      <c r="D12" s="5">
        <v>180</v>
      </c>
      <c r="E12" s="5">
        <v>81</v>
      </c>
      <c r="F12" s="5">
        <v>0</v>
      </c>
      <c r="G12" s="5">
        <f t="shared" si="0"/>
        <v>2196</v>
      </c>
    </row>
    <row r="13" spans="1:7">
      <c r="A13" s="5" t="s">
        <v>29</v>
      </c>
      <c r="B13" s="5" t="s">
        <v>30</v>
      </c>
      <c r="C13" s="5">
        <v>1096</v>
      </c>
      <c r="D13" s="5">
        <v>76</v>
      </c>
      <c r="E13" s="5">
        <v>0</v>
      </c>
      <c r="F13" s="5">
        <v>0</v>
      </c>
      <c r="G13" s="5"/>
    </row>
    <row r="14" spans="1:7">
      <c r="A14" s="5" t="s">
        <v>31</v>
      </c>
      <c r="B14" s="5" t="s">
        <v>32</v>
      </c>
      <c r="C14" s="5">
        <v>2141</v>
      </c>
      <c r="D14" s="5">
        <v>227</v>
      </c>
      <c r="E14" s="5">
        <v>405</v>
      </c>
      <c r="F14" s="5">
        <v>0</v>
      </c>
      <c r="G14" s="5">
        <f t="shared" si="0"/>
        <v>2773</v>
      </c>
    </row>
    <row r="15" spans="1:7">
      <c r="A15" s="5" t="s">
        <v>33</v>
      </c>
      <c r="B15" s="5" t="s">
        <v>34</v>
      </c>
      <c r="C15" s="5">
        <v>2560</v>
      </c>
      <c r="D15" s="5">
        <v>26</v>
      </c>
      <c r="E15" s="5">
        <v>598</v>
      </c>
      <c r="F15" s="5">
        <v>178</v>
      </c>
      <c r="G15" s="5">
        <f t="shared" si="0"/>
        <v>3718</v>
      </c>
    </row>
    <row r="16" spans="1:7">
      <c r="A16" s="5" t="s">
        <v>35</v>
      </c>
      <c r="B16" s="5" t="s">
        <v>36</v>
      </c>
      <c r="C16" s="5">
        <v>179</v>
      </c>
      <c r="D16" s="5">
        <v>15</v>
      </c>
      <c r="E16" s="5">
        <v>0</v>
      </c>
      <c r="F16" s="5">
        <v>21</v>
      </c>
      <c r="G16" s="5">
        <f t="shared" si="0"/>
        <v>257</v>
      </c>
    </row>
    <row r="17" spans="1:7">
      <c r="A17" s="5" t="s">
        <v>37</v>
      </c>
      <c r="B17" s="5" t="s">
        <v>38</v>
      </c>
      <c r="C17" s="5">
        <v>2</v>
      </c>
      <c r="D17" s="5">
        <v>1</v>
      </c>
      <c r="E17" s="5">
        <v>2</v>
      </c>
      <c r="F17" s="5">
        <v>0</v>
      </c>
      <c r="G17" s="5">
        <f t="shared" si="0"/>
        <v>5</v>
      </c>
    </row>
    <row r="18" spans="1:7">
      <c r="A18" s="5" t="s">
        <v>39</v>
      </c>
      <c r="B18" s="5" t="s">
        <v>40</v>
      </c>
      <c r="C18" s="5">
        <v>229</v>
      </c>
      <c r="D18" s="5">
        <v>4</v>
      </c>
      <c r="E18" s="5">
        <v>34</v>
      </c>
      <c r="F18" s="5">
        <v>3</v>
      </c>
      <c r="G18" s="5">
        <f t="shared" si="0"/>
        <v>276</v>
      </c>
    </row>
    <row r="19" spans="1:7">
      <c r="A19" s="5" t="s">
        <v>41</v>
      </c>
      <c r="B19" s="5" t="s">
        <v>42</v>
      </c>
      <c r="C19" s="5">
        <v>129</v>
      </c>
      <c r="D19" s="5">
        <v>27</v>
      </c>
      <c r="E19" s="5">
        <v>2</v>
      </c>
      <c r="F19" s="5">
        <v>0</v>
      </c>
      <c r="G19" s="5">
        <f t="shared" si="0"/>
        <v>158</v>
      </c>
    </row>
    <row r="20" s="1" customFormat="1" spans="1:7">
      <c r="A20" s="4" t="s">
        <v>43</v>
      </c>
      <c r="B20" s="4" t="s">
        <v>44</v>
      </c>
      <c r="C20" s="4">
        <v>304</v>
      </c>
      <c r="D20" s="4">
        <v>30</v>
      </c>
      <c r="E20" s="4">
        <v>36</v>
      </c>
      <c r="F20" s="4">
        <v>73</v>
      </c>
      <c r="G20" s="4">
        <f t="shared" si="0"/>
        <v>589</v>
      </c>
    </row>
    <row r="21" s="1" customFormat="1" spans="1:7">
      <c r="A21" s="4" t="s">
        <v>45</v>
      </c>
      <c r="B21" s="4" t="s">
        <v>46</v>
      </c>
      <c r="C21" s="4">
        <v>265</v>
      </c>
      <c r="D21" s="4">
        <v>23</v>
      </c>
      <c r="E21" s="4">
        <v>52</v>
      </c>
      <c r="F21" s="4">
        <v>54</v>
      </c>
      <c r="G21" s="5">
        <f t="shared" si="0"/>
        <v>502</v>
      </c>
    </row>
    <row r="22" spans="1:7">
      <c r="A22" s="5" t="s">
        <v>47</v>
      </c>
      <c r="B22" s="5" t="s">
        <v>48</v>
      </c>
      <c r="C22" s="5">
        <v>138</v>
      </c>
      <c r="D22" s="5">
        <v>0</v>
      </c>
      <c r="E22" s="5">
        <v>8</v>
      </c>
      <c r="F22" s="5">
        <v>7</v>
      </c>
      <c r="G22" s="5">
        <f t="shared" si="0"/>
        <v>167</v>
      </c>
    </row>
    <row r="23" spans="1:7">
      <c r="A23" s="5" t="s">
        <v>49</v>
      </c>
      <c r="B23" s="5" t="s">
        <v>50</v>
      </c>
      <c r="C23" s="5">
        <v>2366</v>
      </c>
      <c r="D23" s="5">
        <v>239</v>
      </c>
      <c r="E23" s="5">
        <v>144</v>
      </c>
      <c r="F23" s="5">
        <v>0</v>
      </c>
      <c r="G23" s="5">
        <f t="shared" si="0"/>
        <v>2749</v>
      </c>
    </row>
    <row r="24" spans="1:7">
      <c r="A24" s="5" t="s">
        <v>51</v>
      </c>
      <c r="B24" s="5" t="s">
        <v>52</v>
      </c>
      <c r="C24" s="5">
        <v>233</v>
      </c>
      <c r="D24" s="5">
        <v>45</v>
      </c>
      <c r="E24" s="5">
        <v>79</v>
      </c>
      <c r="F24" s="5">
        <v>15</v>
      </c>
      <c r="G24" s="5">
        <f t="shared" si="0"/>
        <v>402</v>
      </c>
    </row>
    <row r="25" spans="1:7">
      <c r="A25" s="5" t="s">
        <v>53</v>
      </c>
      <c r="B25" s="5" t="s">
        <v>54</v>
      </c>
      <c r="C25" s="5">
        <v>210</v>
      </c>
      <c r="D25" s="5">
        <v>0</v>
      </c>
      <c r="E25" s="5">
        <v>128</v>
      </c>
      <c r="F25" s="5">
        <v>0</v>
      </c>
      <c r="G25" s="5">
        <f t="shared" si="0"/>
        <v>338</v>
      </c>
    </row>
    <row r="26" spans="1:7">
      <c r="A26" s="4" t="s">
        <v>55</v>
      </c>
      <c r="B26" s="4" t="s">
        <v>56</v>
      </c>
      <c r="C26" s="4">
        <v>36</v>
      </c>
      <c r="D26" s="4">
        <v>3</v>
      </c>
      <c r="E26" s="4">
        <v>19</v>
      </c>
      <c r="F26" s="4">
        <v>0</v>
      </c>
      <c r="G26" s="5">
        <f t="shared" si="0"/>
        <v>58</v>
      </c>
    </row>
    <row r="27" spans="1:7">
      <c r="A27" s="4" t="s">
        <v>57</v>
      </c>
      <c r="B27" s="4" t="s">
        <v>58</v>
      </c>
      <c r="C27" s="4">
        <v>0</v>
      </c>
      <c r="D27" s="4">
        <v>0</v>
      </c>
      <c r="E27" s="4">
        <v>0</v>
      </c>
      <c r="F27" s="4">
        <v>0</v>
      </c>
      <c r="G27" s="5">
        <f t="shared" si="0"/>
        <v>0</v>
      </c>
    </row>
    <row r="28" s="1" customFormat="1" spans="1:7">
      <c r="A28" s="4" t="s">
        <v>59</v>
      </c>
      <c r="B28" s="4" t="s">
        <v>60</v>
      </c>
      <c r="C28" s="4">
        <v>87</v>
      </c>
      <c r="D28" s="4">
        <v>16</v>
      </c>
      <c r="E28" s="4">
        <v>17</v>
      </c>
      <c r="F28" s="4">
        <v>32</v>
      </c>
      <c r="G28" s="5">
        <f t="shared" si="0"/>
        <v>216</v>
      </c>
    </row>
    <row r="29" spans="1:7">
      <c r="A29" s="4"/>
      <c r="B29" s="4" t="s">
        <v>61</v>
      </c>
      <c r="C29" s="4">
        <v>0</v>
      </c>
      <c r="D29" s="4">
        <v>0</v>
      </c>
      <c r="E29" s="4">
        <v>0</v>
      </c>
      <c r="F29" s="4">
        <v>0</v>
      </c>
      <c r="G29" s="5">
        <f t="shared" si="0"/>
        <v>0</v>
      </c>
    </row>
    <row r="30" spans="1:7">
      <c r="A30" s="4"/>
      <c r="B30" s="4" t="s">
        <v>62</v>
      </c>
      <c r="C30" s="4">
        <v>0</v>
      </c>
      <c r="D30" s="4">
        <v>2</v>
      </c>
      <c r="E30" s="4">
        <v>7</v>
      </c>
      <c r="F30" s="4">
        <v>1</v>
      </c>
      <c r="G30" s="5">
        <f t="shared" si="0"/>
        <v>12</v>
      </c>
    </row>
    <row r="31" s="1" customFormat="1" spans="1:7">
      <c r="A31" s="4"/>
      <c r="B31" s="4" t="s">
        <v>63</v>
      </c>
      <c r="C31" s="4">
        <v>9</v>
      </c>
      <c r="D31" s="4">
        <v>33</v>
      </c>
      <c r="E31" s="4">
        <v>21</v>
      </c>
      <c r="F31" s="4">
        <v>0</v>
      </c>
      <c r="G31" s="5">
        <f t="shared" si="0"/>
        <v>63</v>
      </c>
    </row>
    <row r="32" spans="1:7">
      <c r="A32" s="4"/>
      <c r="B32" s="4" t="s">
        <v>64</v>
      </c>
      <c r="C32" s="4">
        <v>0</v>
      </c>
      <c r="D32" s="4">
        <v>0</v>
      </c>
      <c r="E32" s="4">
        <v>0</v>
      </c>
      <c r="F32" s="4">
        <v>0</v>
      </c>
      <c r="G32" s="5">
        <f t="shared" si="0"/>
        <v>0</v>
      </c>
    </row>
    <row r="33" spans="1:7">
      <c r="A33" s="4"/>
      <c r="B33" s="4" t="s">
        <v>65</v>
      </c>
      <c r="C33" s="4">
        <v>61</v>
      </c>
      <c r="D33" s="4">
        <v>0</v>
      </c>
      <c r="E33" s="4">
        <v>52</v>
      </c>
      <c r="F33" s="4">
        <v>97</v>
      </c>
      <c r="G33" s="5">
        <f t="shared" si="0"/>
        <v>404</v>
      </c>
    </row>
    <row r="34" spans="1:7">
      <c r="A34" s="4"/>
      <c r="B34" s="4" t="s">
        <v>66</v>
      </c>
      <c r="C34" s="4">
        <v>0</v>
      </c>
      <c r="D34" s="4">
        <v>0</v>
      </c>
      <c r="E34" s="4">
        <v>0</v>
      </c>
      <c r="F34" s="4">
        <v>0</v>
      </c>
      <c r="G34" s="5">
        <f t="shared" si="0"/>
        <v>0</v>
      </c>
    </row>
    <row r="35" spans="1:7">
      <c r="A35" s="4"/>
      <c r="B35" s="4" t="s">
        <v>67</v>
      </c>
      <c r="C35" s="4">
        <v>0</v>
      </c>
      <c r="D35" s="4">
        <v>0</v>
      </c>
      <c r="E35" s="4">
        <v>0</v>
      </c>
      <c r="F35" s="4">
        <v>0</v>
      </c>
      <c r="G35" s="5">
        <f t="shared" si="0"/>
        <v>0</v>
      </c>
    </row>
    <row r="36" spans="1:7">
      <c r="A36" s="4"/>
      <c r="B36" s="4" t="s">
        <v>68</v>
      </c>
      <c r="C36" s="4">
        <v>47</v>
      </c>
      <c r="D36" s="4">
        <v>0</v>
      </c>
      <c r="E36" s="4">
        <v>26</v>
      </c>
      <c r="F36" s="4">
        <v>0</v>
      </c>
      <c r="G36" s="5">
        <f t="shared" si="0"/>
        <v>73</v>
      </c>
    </row>
    <row r="37" spans="1:7">
      <c r="A37" s="5"/>
      <c r="B37" s="5" t="s">
        <v>69</v>
      </c>
      <c r="C37" s="5">
        <v>0</v>
      </c>
      <c r="D37" s="5">
        <v>0</v>
      </c>
      <c r="E37" s="5">
        <v>0</v>
      </c>
      <c r="F37" s="5">
        <v>0</v>
      </c>
      <c r="G37" s="5">
        <f t="shared" si="0"/>
        <v>0</v>
      </c>
    </row>
    <row r="38" spans="1:7">
      <c r="A38" s="5"/>
      <c r="B38" s="5" t="s">
        <v>70</v>
      </c>
      <c r="C38" s="5">
        <v>0</v>
      </c>
      <c r="D38" s="5">
        <v>4</v>
      </c>
      <c r="E38" s="5">
        <v>21</v>
      </c>
      <c r="F38" s="5">
        <v>0</v>
      </c>
      <c r="G38" s="5">
        <f t="shared" si="0"/>
        <v>25</v>
      </c>
    </row>
    <row r="39" spans="1:7">
      <c r="A39" s="5"/>
      <c r="B39" s="5" t="s">
        <v>71</v>
      </c>
      <c r="C39" s="5">
        <v>0</v>
      </c>
      <c r="D39" s="5">
        <v>0</v>
      </c>
      <c r="E39" s="5">
        <v>0</v>
      </c>
      <c r="F39" s="5">
        <v>0</v>
      </c>
      <c r="G39" s="5">
        <f t="shared" si="0"/>
        <v>0</v>
      </c>
    </row>
    <row r="40" spans="1:7">
      <c r="A40" s="5"/>
      <c r="B40" s="5" t="s">
        <v>72</v>
      </c>
      <c r="C40" s="5">
        <v>0</v>
      </c>
      <c r="D40" s="5">
        <v>0</v>
      </c>
      <c r="E40" s="5">
        <v>63</v>
      </c>
      <c r="F40" s="5">
        <v>0</v>
      </c>
      <c r="G40" s="5">
        <f t="shared" si="0"/>
        <v>63</v>
      </c>
    </row>
    <row r="41" spans="1:7">
      <c r="A41" s="5"/>
      <c r="B41" s="5" t="s">
        <v>73</v>
      </c>
      <c r="C41" s="5">
        <v>0</v>
      </c>
      <c r="D41" s="5">
        <v>0</v>
      </c>
      <c r="E41" s="5">
        <v>0</v>
      </c>
      <c r="F41" s="5">
        <v>0</v>
      </c>
      <c r="G41" s="5">
        <f t="shared" si="0"/>
        <v>0</v>
      </c>
    </row>
    <row r="42" spans="1:7">
      <c r="A42" s="5"/>
      <c r="B42" s="3" t="s">
        <v>74</v>
      </c>
      <c r="C42" s="6">
        <v>25880</v>
      </c>
      <c r="D42" s="7"/>
      <c r="E42" s="7"/>
      <c r="F42" s="8"/>
      <c r="G42" s="3">
        <f>SUM(G2:G41)</f>
        <v>28522</v>
      </c>
    </row>
  </sheetData>
  <mergeCells count="1">
    <mergeCell ref="C42:F4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15201</dc:creator>
  <cp:lastModifiedBy>赵雪嫣</cp:lastModifiedBy>
  <dcterms:created xsi:type="dcterms:W3CDTF">2023-05-12T11:15:00Z</dcterms:created>
  <dcterms:modified xsi:type="dcterms:W3CDTF">2026-05-08T02:20:54Z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5FC3DCCD1DEF461A8EAA5CD040AD87D3_12</vt:lpwstr>
  </property>
  <property fmtid="{D5CDD505-2E9C-101B-9397-08002B2CF9AE}" pid="4" name="CalculationRule">
    <vt:i4>0</vt:i4>
  </property>
</Properties>
</file>